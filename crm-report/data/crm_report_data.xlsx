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ext" sheetId="2" state="visible" r:id="rId2"/>
    <sheet xmlns:r="http://schemas.openxmlformats.org/officeDocument/2006/relationships" name="S02_TotalActive" sheetId="3" state="visible" r:id="rId3"/>
    <sheet xmlns:r="http://schemas.openxmlformats.org/officeDocument/2006/relationships" name="S03_Profiling" sheetId="4" state="visible" r:id="rId4"/>
    <sheet xmlns:r="http://schemas.openxmlformats.org/officeDocument/2006/relationships" name="S04_TrendMember" sheetId="5" state="visible" r:id="rId5"/>
    <sheet xmlns:r="http://schemas.openxmlformats.org/officeDocument/2006/relationships" name="S05_SalesContrib" sheetId="6" state="visible" r:id="rId6"/>
    <sheet xmlns:r="http://schemas.openxmlformats.org/officeDocument/2006/relationships" name="S06_VisitBasket" sheetId="7" state="visible" r:id="rId7"/>
    <sheet xmlns:r="http://schemas.openxmlformats.org/officeDocument/2006/relationships" name="S07_TrendContrib" sheetId="8" state="visible" r:id="rId8"/>
    <sheet xmlns:r="http://schemas.openxmlformats.org/officeDocument/2006/relationships" name="S08_TrendMemberSales" sheetId="9" state="visible" r:id="rId9"/>
    <sheet xmlns:r="http://schemas.openxmlformats.org/officeDocument/2006/relationships" name="S09_TrendSalesPerMember" sheetId="10" state="visible" r:id="rId10"/>
    <sheet xmlns:r="http://schemas.openxmlformats.org/officeDocument/2006/relationships" name="S10_TrendTrxPerMember" sheetId="11" state="visible" r:id="rId11"/>
    <sheet xmlns:r="http://schemas.openxmlformats.org/officeDocument/2006/relationships" name="S11_TrendBasket" sheetId="12" state="visible" r:id="rId12"/>
    <sheet xmlns:r="http://schemas.openxmlformats.org/officeDocument/2006/relationships" name="S15_Redemp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7"/>
      </patternFill>
    </fill>
  </fills>
  <borders count="2">
    <border>
      <left/>
      <right/>
      <top/>
      <bottom/>
      <diagonal/>
    </border>
    <border>
      <left style="thin">
        <color rgb="00C7D2DE"/>
      </left>
      <right style="thin">
        <color rgb="00C7D2DE"/>
      </right>
      <top style="thin">
        <color rgb="00C7D2DE"/>
      </top>
      <bottom style="thin">
        <color rgb="00C7D2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4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keterangan</t>
        </is>
      </c>
    </row>
    <row r="2">
      <c r="A2" s="2" t="inlineStr">
        <is>
          <t>report_title</t>
        </is>
      </c>
      <c r="B2" t="inlineStr">
        <is>
          <t>CRM MONTHLY REPORT</t>
        </is>
      </c>
      <c r="C2" t="inlineStr">
        <is>
          <t>Judul utama di cover</t>
        </is>
      </c>
    </row>
    <row r="3">
      <c r="A3" s="2" t="inlineStr">
        <is>
          <t>report_period</t>
        </is>
      </c>
      <c r="B3" t="inlineStr">
        <is>
          <t>Juli 2026</t>
        </is>
      </c>
      <c r="C3" t="inlineStr">
        <is>
          <t>Periode laporan</t>
        </is>
      </c>
    </row>
    <row r="4">
      <c r="A4" s="2" t="inlineStr">
        <is>
          <t>report_month_short</t>
        </is>
      </c>
      <c r="B4" t="inlineStr">
        <is>
          <t>Jul 26</t>
        </is>
      </c>
      <c r="C4" t="inlineStr">
        <is>
          <t>Label bulan singkat dipakai di narasi</t>
        </is>
      </c>
    </row>
    <row r="5">
      <c r="A5" s="2" t="inlineStr">
        <is>
          <t>brand_primary</t>
        </is>
      </c>
      <c r="B5" t="inlineStr">
        <is>
          <t>1F3A5F</t>
        </is>
      </c>
      <c r="C5" t="inlineStr">
        <is>
          <t>Warna utama (hex tanpa #)</t>
        </is>
      </c>
    </row>
    <row r="6">
      <c r="A6" s="2" t="inlineStr">
        <is>
          <t>brand_accent</t>
        </is>
      </c>
      <c r="B6" t="inlineStr">
        <is>
          <t>E4002B</t>
        </is>
      </c>
      <c r="C6" t="inlineStr">
        <is>
          <t>Warna aksen (hex tanpa #)</t>
        </is>
      </c>
    </row>
    <row r="7">
      <c r="A7" s="2" t="inlineStr">
        <is>
          <t>footer_text</t>
        </is>
      </c>
      <c r="B7" t="inlineStr">
        <is>
          <t>CRM Monthly Report  •  All Rights Reserved. @Alfamart 2026</t>
        </is>
      </c>
      <c r="C7" t="inlineStr">
        <is>
          <t>Footer tiap slide</t>
        </is>
      </c>
    </row>
    <row r="8">
      <c r="A8" s="2" t="inlineStr">
        <is>
          <t>company_name</t>
        </is>
      </c>
      <c r="B8" t="inlineStr">
        <is>
          <t>PT. SUMBER ALFARIA TRIJAYA Tbk</t>
        </is>
      </c>
      <c r="C8" t="inlineStr">
        <is>
          <t>Slide penutup</t>
        </is>
      </c>
    </row>
    <row r="9">
      <c r="A9" s="2" t="inlineStr">
        <is>
          <t>company_addr1</t>
        </is>
      </c>
      <c r="B9" t="inlineStr">
        <is>
          <t>Alfa Tower, Jalan Jalur Sutera Barat Kav. 7-9</t>
        </is>
      </c>
      <c r="C9" t="inlineStr">
        <is>
          <t>Alamat baris 1</t>
        </is>
      </c>
    </row>
    <row r="10">
      <c r="A10" s="2" t="inlineStr">
        <is>
          <t>company_addr2</t>
        </is>
      </c>
      <c r="B10" t="inlineStr">
        <is>
          <t>Alam Sutera, Kota Tangerang, Banten 15143</t>
        </is>
      </c>
      <c r="C10" t="inlineStr">
        <is>
          <t>Alamat baris 2</t>
        </is>
      </c>
    </row>
    <row r="11">
      <c r="A11" s="2" t="inlineStr">
        <is>
          <t>company_web</t>
        </is>
      </c>
      <c r="B11" t="inlineStr">
        <is>
          <t>www.alfamartku.com</t>
        </is>
      </c>
      <c r="C11" t="inlineStr">
        <is>
          <t>Website</t>
        </is>
      </c>
    </row>
    <row r="12">
      <c r="A12" s="2" t="inlineStr">
        <is>
          <t>slides_deck_id</t>
        </is>
      </c>
      <c r="B12" t="inlineStr"/>
      <c r="C12" t="inlineStr">
        <is>
          <t>DIISI OTOMATIS oleh script (ID Google Slides yg dibuat)</t>
        </is>
      </c>
    </row>
    <row r="13">
      <c r="A13" s="2" t="inlineStr">
        <is>
          <t>slides_deck_name</t>
        </is>
      </c>
      <c r="B13" t="inlineStr">
        <is>
          <t>CRM Monthly Report - Juli 2026</t>
        </is>
      </c>
      <c r="C13" t="inlineStr">
        <is>
          <t>Nama file deck yang dibuat/di-update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80" customWidth="1" min="3" max="3"/>
  </cols>
  <sheetData>
    <row r="1">
      <c r="A1" s="1" t="inlineStr">
        <is>
          <t>slide_key</t>
        </is>
      </c>
      <c r="B1" s="1" t="inlineStr">
        <is>
          <t>title</t>
        </is>
      </c>
      <c r="C1" s="1" t="inlineStr">
        <is>
          <t>narrative</t>
        </is>
      </c>
    </row>
    <row r="2">
      <c r="A2" s="2" t="inlineStr">
        <is>
          <t>s02_total_active</t>
        </is>
      </c>
      <c r="B2" t="inlineStr">
        <is>
          <t>Total Member vs Active Member</t>
        </is>
      </c>
      <c r="C2" s="3" t="inlineStr">
        <is>
          <t>Di bulan Jul 26, total member = 26,8 juta member dengan active member = 17,6 juta member (65,6%).</t>
        </is>
      </c>
    </row>
    <row r="3">
      <c r="A3" s="2" t="inlineStr">
        <is>
          <t>s03_profiling</t>
        </is>
      </c>
      <c r="B3" t="inlineStr">
        <is>
          <t>Profiling Member</t>
        </is>
      </c>
      <c r="C3" s="3" t="inlineStr">
        <is>
          <t>Dari total member Alfamart, mayoritas berjenis kelamin perempuan dengan rentang usia terbanyak di 21-40 tahun.</t>
        </is>
      </c>
    </row>
    <row r="4">
      <c r="A4" s="2" t="inlineStr">
        <is>
          <t>s04_trend_member</t>
        </is>
      </c>
      <c r="B4" t="inlineStr">
        <is>
          <t>Tren Total Member vs Active Member</t>
        </is>
      </c>
      <c r="C4" s="3" t="inlineStr"/>
    </row>
    <row r="5">
      <c r="A5" s="2" t="inlineStr">
        <is>
          <t>s05_sales_contrib</t>
        </is>
      </c>
      <c r="B5" t="inlineStr">
        <is>
          <t>Kontribusi Sales Member</t>
        </is>
      </c>
      <c r="C5" s="3" t="inlineStr">
        <is>
          <t>Kontribusi sales member di YTD Jul 26 = 60,91%, naik 4,3 pts vs LY. Secara value, sales member naik 15,5% vs tahun lalu, sedangkan sales per member turun 3,5%.</t>
        </is>
      </c>
    </row>
    <row r="6">
      <c r="A6" s="2" t="inlineStr">
        <is>
          <t>s06_visit_basket</t>
        </is>
      </c>
      <c r="B6" t="inlineStr">
        <is>
          <t>Visit per Member &amp; Basket Size Member</t>
        </is>
      </c>
      <c r="C6" s="3" t="inlineStr">
        <is>
          <t>Struk per Member di YTD Jul 26 = 4,71, turun 3,5% vs LY. Basket Size member YTD Jul 26 = 68.312, hampir sama dibanding LY.</t>
        </is>
      </c>
    </row>
    <row r="7">
      <c r="A7" s="2" t="inlineStr">
        <is>
          <t>s07_trend_contrib</t>
        </is>
      </c>
      <c r="B7" t="inlineStr">
        <is>
          <t>Tren Kontribusi Sales Member</t>
        </is>
      </c>
      <c r="C7" s="3" t="inlineStr"/>
    </row>
    <row r="8">
      <c r="A8" s="2" t="inlineStr">
        <is>
          <t>s08_trend_member_sales</t>
        </is>
      </c>
      <c r="B8" t="inlineStr">
        <is>
          <t>Tren Jumlah Member dan Sales Member</t>
        </is>
      </c>
      <c r="C8" s="3" t="inlineStr"/>
    </row>
    <row r="9">
      <c r="A9" s="2" t="inlineStr">
        <is>
          <t>s09_trend_sales_per_member</t>
        </is>
      </c>
      <c r="B9" t="inlineStr">
        <is>
          <t>Tren Sales Per Member</t>
        </is>
      </c>
      <c r="C9" s="3" t="inlineStr"/>
    </row>
    <row r="10">
      <c r="A10" s="2" t="inlineStr">
        <is>
          <t>s10_trend_trx_per_member</t>
        </is>
      </c>
      <c r="B10" t="inlineStr">
        <is>
          <t>Tren Transaksi Per Member</t>
        </is>
      </c>
      <c r="C10" s="3" t="inlineStr"/>
    </row>
    <row r="11">
      <c r="A11" s="2" t="inlineStr">
        <is>
          <t>s11_trend_basket</t>
        </is>
      </c>
      <c r="B11" t="inlineStr">
        <is>
          <t>Tren Basket Size Member</t>
        </is>
      </c>
      <c r="C11" s="3" t="inlineStr"/>
    </row>
    <row r="12">
      <c r="A12" s="2" t="inlineStr">
        <is>
          <t>s12_by_branch</t>
        </is>
      </c>
      <c r="B12" t="inlineStr">
        <is>
          <t>Kontribusi Sales Member by Branch</t>
        </is>
      </c>
      <c r="C12" s="3" t="inlineStr">
        <is>
          <t>Tempel peta/grafik distribusi per branch pada slide ini (gambar).</t>
        </is>
      </c>
    </row>
    <row r="13">
      <c r="A13" s="2" t="inlineStr">
        <is>
          <t>s13_by_dept</t>
        </is>
      </c>
      <c r="B13" t="inlineStr">
        <is>
          <t>Sales Member by Departement - Top 20 Departement</t>
        </is>
      </c>
      <c r="C13" s="3" t="inlineStr">
        <is>
          <t>Kontribusi dari 20 departement = 95,3% terhadap sales member YTD Jul 2026.</t>
        </is>
      </c>
    </row>
    <row r="14">
      <c r="A14" s="2" t="inlineStr">
        <is>
          <t>s14_section_redemption</t>
        </is>
      </c>
      <c r="B14" t="inlineStr">
        <is>
          <t>REDEEMPTION POIN MEMBER</t>
        </is>
      </c>
      <c r="C14" s="3" t="inlineStr"/>
    </row>
    <row r="15">
      <c r="A15" s="2" t="inlineStr">
        <is>
          <t>s15_point_redemption</t>
        </is>
      </c>
      <c r="B15" t="inlineStr">
        <is>
          <t>Point Redemption</t>
        </is>
      </c>
      <c r="C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Kategori</t>
        </is>
      </c>
      <c r="B1" s="1" t="inlineStr">
        <is>
          <t>Jumlah Member</t>
        </is>
      </c>
    </row>
    <row r="2">
      <c r="A2" t="inlineStr">
        <is>
          <t>Total Member</t>
        </is>
      </c>
      <c r="B2" t="n">
        <v>26839543</v>
      </c>
    </row>
    <row r="3">
      <c r="A3" t="inlineStr">
        <is>
          <t>Active Member</t>
        </is>
      </c>
      <c r="B3" t="n">
        <v>17619760</v>
      </c>
    </row>
    <row r="5">
      <c r="A5" s="4" t="inlineStr">
        <is>
          <t>KPI</t>
        </is>
      </c>
      <c r="B5" s="4" t="inlineStr">
        <is>
          <t>Nilai</t>
        </is>
      </c>
      <c r="C5" s="4" t="inlineStr">
        <is>
          <t>Formula</t>
        </is>
      </c>
    </row>
    <row r="6">
      <c r="A6" t="inlineStr">
        <is>
          <t>% Active Member</t>
        </is>
      </c>
      <c r="B6" s="5">
        <f>B3/B2</f>
        <v/>
      </c>
      <c r="C6" t="inlineStr">
        <is>
          <t>active /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Rentang Usia</t>
        </is>
      </c>
      <c r="B1" s="1" t="inlineStr">
        <is>
          <t>Perempuan</t>
        </is>
      </c>
      <c r="C1" s="1" t="inlineStr">
        <is>
          <t>Laki-laki</t>
        </is>
      </c>
    </row>
    <row r="2">
      <c r="A2" t="inlineStr">
        <is>
          <t>&lt;21 tahun</t>
        </is>
      </c>
      <c r="B2" s="5" t="n">
        <v>0.0661059187623879</v>
      </c>
      <c r="C2" s="5" t="n">
        <v>0.07110034368884409</v>
      </c>
    </row>
    <row r="3">
      <c r="A3" t="inlineStr">
        <is>
          <t>21-30 tahun</t>
        </is>
      </c>
      <c r="B3" s="5" t="n">
        <v>0.3765410954178481</v>
      </c>
      <c r="C3" s="5" t="n">
        <v>0.387049181263036</v>
      </c>
    </row>
    <row r="4">
      <c r="A4" t="inlineStr">
        <is>
          <t>31-40 tahun</t>
        </is>
      </c>
      <c r="B4" s="5" t="n">
        <v>0.2850967601988578</v>
      </c>
      <c r="C4" s="5" t="n">
        <v>0.2925954373217585</v>
      </c>
    </row>
    <row r="5">
      <c r="A5" t="inlineStr">
        <is>
          <t>41-50 tahun</t>
        </is>
      </c>
      <c r="B5" s="5" t="n">
        <v>0.1751431077297216</v>
      </c>
      <c r="C5" s="5" t="n">
        <v>0.1687601407016977</v>
      </c>
    </row>
    <row r="6">
      <c r="A6" t="inlineStr">
        <is>
          <t>&gt;=51 tahun</t>
        </is>
      </c>
      <c r="B6" s="5" t="n">
        <v>0.09711311789118458</v>
      </c>
      <c r="C6" s="5" t="n">
        <v>0.08049489702466368</v>
      </c>
    </row>
    <row r="7">
      <c r="A7" s="4" t="n"/>
      <c r="B7" s="4" t="n"/>
    </row>
    <row r="8">
      <c r="A8" t="inlineStr">
        <is>
          <t>Gender Split</t>
        </is>
      </c>
      <c r="B8" s="6" t="inlineStr">
        <is>
          <t>%</t>
        </is>
      </c>
    </row>
    <row r="9">
      <c r="A9" t="inlineStr">
        <is>
          <t>Perempuan</t>
        </is>
      </c>
      <c r="B9" s="6" t="n">
        <v>0.66</v>
      </c>
    </row>
    <row r="10">
      <c r="A10" t="inlineStr">
        <is>
          <t>Laki-laki</t>
        </is>
      </c>
      <c r="B10" t="n">
        <v>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Bulan</t>
        </is>
      </c>
      <c r="B1" s="1" t="inlineStr">
        <is>
          <t>Total Member</t>
        </is>
      </c>
      <c r="C1" s="1" t="inlineStr">
        <is>
          <t>Active Member</t>
        </is>
      </c>
      <c r="D1" s="1" t="inlineStr">
        <is>
          <t>% Active</t>
        </is>
      </c>
    </row>
    <row r="2">
      <c r="A2" t="inlineStr">
        <is>
          <t>Jan-25</t>
        </is>
      </c>
      <c r="B2" t="n">
        <v>20817045</v>
      </c>
      <c r="C2" t="n">
        <v>13541668</v>
      </c>
      <c r="D2" s="5">
        <f>IF(OR(B2="",C2=""),"",C2/B2)</f>
        <v/>
      </c>
    </row>
    <row r="3">
      <c r="A3" t="inlineStr">
        <is>
          <t>Feb-25</t>
        </is>
      </c>
      <c r="B3" t="n">
        <v>20993855</v>
      </c>
      <c r="C3" t="n">
        <v>13481661</v>
      </c>
      <c r="D3" s="5">
        <f>IF(OR(B3="",C3=""),"",C3/B3)</f>
        <v/>
      </c>
    </row>
    <row r="4">
      <c r="A4" t="inlineStr">
        <is>
          <t>Mar-25</t>
        </is>
      </c>
      <c r="B4" t="n">
        <v>21262211</v>
      </c>
      <c r="C4" t="n">
        <v>14369613</v>
      </c>
      <c r="D4" s="5">
        <f>IF(OR(B4="",C4=""),"",C4/B4)</f>
        <v/>
      </c>
    </row>
    <row r="5">
      <c r="A5" t="inlineStr">
        <is>
          <t>Apr-25</t>
        </is>
      </c>
      <c r="B5" t="n">
        <v>21353334</v>
      </c>
      <c r="C5" t="n">
        <v>14080367</v>
      </c>
      <c r="D5" s="5">
        <f>IF(OR(B5="",C5=""),"",C5/B5)</f>
        <v/>
      </c>
    </row>
    <row r="6">
      <c r="A6" t="inlineStr">
        <is>
          <t>Mei-25</t>
        </is>
      </c>
      <c r="B6" t="n">
        <v>21695168</v>
      </c>
      <c r="C6" t="n">
        <v>14244378</v>
      </c>
      <c r="D6" s="5">
        <f>IF(OR(B6="",C6=""),"",C6/B6)</f>
        <v/>
      </c>
    </row>
    <row r="7">
      <c r="A7" t="inlineStr">
        <is>
          <t>Jun-25</t>
        </is>
      </c>
      <c r="B7" t="n">
        <v>22012418</v>
      </c>
      <c r="C7" t="n">
        <v>14613080</v>
      </c>
      <c r="D7" s="5">
        <f>IF(OR(B7="",C7=""),"",C7/B7)</f>
        <v/>
      </c>
    </row>
    <row r="8">
      <c r="A8" t="inlineStr">
        <is>
          <t>Jul-25</t>
        </is>
      </c>
      <c r="B8" t="n">
        <v>22364090</v>
      </c>
      <c r="C8" t="n">
        <v>14785553</v>
      </c>
      <c r="D8" s="5">
        <f>IF(OR(B8="",C8=""),"",C8/B8)</f>
        <v/>
      </c>
    </row>
    <row r="9">
      <c r="A9" t="inlineStr">
        <is>
          <t>Agu-25</t>
        </is>
      </c>
      <c r="B9" t="n">
        <v>22713524</v>
      </c>
      <c r="C9" t="n">
        <v>14871892</v>
      </c>
      <c r="D9" s="5">
        <f>IF(OR(B9="",C9=""),"",C9/B9)</f>
        <v/>
      </c>
    </row>
    <row r="10">
      <c r="A10" t="inlineStr">
        <is>
          <t>Sep-25</t>
        </is>
      </c>
      <c r="B10" t="n">
        <v>22856131</v>
      </c>
      <c r="C10" t="n">
        <v>14833096</v>
      </c>
      <c r="D10" s="5">
        <f>IF(OR(B10="",C10=""),"",C10/B10)</f>
        <v/>
      </c>
    </row>
    <row r="11">
      <c r="A11" t="inlineStr">
        <is>
          <t>Okt-25</t>
        </is>
      </c>
      <c r="B11" t="n">
        <v>23181980</v>
      </c>
      <c r="C11" t="n">
        <v>15300482</v>
      </c>
      <c r="D11" s="5">
        <f>IF(OR(B11="",C11=""),"",C11/B11)</f>
        <v/>
      </c>
    </row>
    <row r="12">
      <c r="A12" t="inlineStr">
        <is>
          <t>Nov-25</t>
        </is>
      </c>
      <c r="B12" t="n">
        <v>23527146</v>
      </c>
      <c r="C12" t="n">
        <v>15449824</v>
      </c>
      <c r="D12" s="5">
        <f>IF(OR(B12="",C12=""),"",C12/B12)</f>
        <v/>
      </c>
    </row>
    <row r="13">
      <c r="A13" t="inlineStr">
        <is>
          <t>Des-25</t>
        </is>
      </c>
      <c r="B13" t="n">
        <v>23759146</v>
      </c>
      <c r="C13" t="n">
        <v>15683706</v>
      </c>
      <c r="D13" s="5">
        <f>IF(OR(B13="",C13=""),"",C13/B13)</f>
        <v/>
      </c>
    </row>
    <row r="14">
      <c r="A14" t="inlineStr">
        <is>
          <t>Jan-26</t>
        </is>
      </c>
      <c r="B14" t="n">
        <v>24204410</v>
      </c>
      <c r="C14" t="n">
        <v>15992030</v>
      </c>
      <c r="D14" s="5">
        <f>IF(OR(B14="",C14=""),"",C14/B14)</f>
        <v/>
      </c>
    </row>
    <row r="15">
      <c r="A15" t="inlineStr">
        <is>
          <t>Feb-26</t>
        </is>
      </c>
      <c r="B15" t="n">
        <v>24582490</v>
      </c>
      <c r="C15" t="n">
        <v>16045521</v>
      </c>
      <c r="D15" s="5">
        <f>IF(OR(B15="",C15=""),"",C15/B15)</f>
        <v/>
      </c>
    </row>
    <row r="16">
      <c r="A16" t="inlineStr">
        <is>
          <t>Mar-26</t>
        </is>
      </c>
      <c r="B16" t="n">
        <v>25119971</v>
      </c>
      <c r="C16" t="n">
        <v>17506055</v>
      </c>
      <c r="D16" s="5">
        <f>IF(OR(B16="",C16=""),"",C16/B16)</f>
        <v/>
      </c>
    </row>
    <row r="17">
      <c r="A17" t="inlineStr">
        <is>
          <t>Apr-26</t>
        </is>
      </c>
      <c r="B17" t="n">
        <v>25474731</v>
      </c>
      <c r="C17" t="n">
        <v>16632546</v>
      </c>
      <c r="D17" s="5">
        <f>IF(OR(B17="",C17=""),"",C17/B17)</f>
        <v/>
      </c>
    </row>
    <row r="18">
      <c r="A18" t="inlineStr">
        <is>
          <t>Mei-26</t>
        </is>
      </c>
      <c r="B18" t="n">
        <v>25964774</v>
      </c>
      <c r="C18" t="n">
        <v>17394397</v>
      </c>
      <c r="D18" s="5">
        <f>IF(OR(B18="",C18=""),"",C18/B18)</f>
        <v/>
      </c>
    </row>
    <row r="19">
      <c r="A19" t="inlineStr">
        <is>
          <t>Jun-26</t>
        </is>
      </c>
      <c r="B19" t="n">
        <v>26424609</v>
      </c>
      <c r="C19" t="n">
        <v>17498467</v>
      </c>
      <c r="D19" s="5">
        <f>IF(OR(B19="",C19=""),"",C19/B19)</f>
        <v/>
      </c>
    </row>
    <row r="20">
      <c r="A20" t="inlineStr">
        <is>
          <t>Jul-26</t>
        </is>
      </c>
      <c r="B20" t="n">
        <v>26839543</v>
      </c>
      <c r="C20" t="n">
        <v>17619760</v>
      </c>
      <c r="D20" s="5">
        <f>IF(OR(B20="",C20=""),"",C20/B20)</f>
        <v/>
      </c>
    </row>
    <row r="21">
      <c r="A21" t="inlineStr">
        <is>
          <t>Agu-26</t>
        </is>
      </c>
      <c r="D21" s="5">
        <f>IF(OR(B21="",C21=""),"",C21/B21)</f>
        <v/>
      </c>
    </row>
    <row r="22">
      <c r="A22" t="inlineStr">
        <is>
          <t>Sep-26</t>
        </is>
      </c>
      <c r="D22" s="5">
        <f>IF(OR(B22="",C22=""),"",C22/B22)</f>
        <v/>
      </c>
    </row>
    <row r="23">
      <c r="A23" t="inlineStr">
        <is>
          <t>Okt-26</t>
        </is>
      </c>
      <c r="D23" s="5">
        <f>IF(OR(B23="",C23=""),"",C23/B23)</f>
        <v/>
      </c>
    </row>
    <row r="24">
      <c r="A24" t="inlineStr">
        <is>
          <t>Nov-26</t>
        </is>
      </c>
      <c r="D24" s="5">
        <f>IF(OR(B24="",C24=""),"",C24/B24)</f>
        <v/>
      </c>
    </row>
    <row r="25">
      <c r="A25" t="inlineStr">
        <is>
          <t>Des-26</t>
        </is>
      </c>
      <c r="D25" s="5">
        <f>IF(OR(B25="",C25=""),"",C25/B25)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Metrik</t>
        </is>
      </c>
      <c r="B1" s="1" t="inlineStr">
        <is>
          <t>YTD Jul 26</t>
        </is>
      </c>
      <c r="C1" s="1" t="inlineStr">
        <is>
          <t>YTD Jul 25</t>
        </is>
      </c>
      <c r="D1" s="1" t="inlineStr">
        <is>
          <t>Delta</t>
        </is>
      </c>
    </row>
    <row r="2">
      <c r="A2" t="inlineStr">
        <is>
          <t>Sales Member (Rp)</t>
        </is>
      </c>
      <c r="B2" t="n">
        <v>38184702752510.7</v>
      </c>
      <c r="C2" t="n">
        <v>33063195342471.29</v>
      </c>
      <c r="D2" t="inlineStr">
        <is>
          <t>+15,5%</t>
        </is>
      </c>
    </row>
    <row r="3">
      <c r="A3" t="inlineStr">
        <is>
          <t>Sales per Member (Rp)</t>
        </is>
      </c>
      <c r="B3" t="n">
        <v>321721.2697321482</v>
      </c>
      <c r="C3" t="n">
        <v>333579.7307897558</v>
      </c>
      <c r="D3" t="inlineStr">
        <is>
          <t>-3,5%</t>
        </is>
      </c>
    </row>
    <row r="4">
      <c r="A4" t="inlineStr">
        <is>
          <t>% Contr. Sales Member</t>
        </is>
      </c>
      <c r="B4" s="5" t="n">
        <v>0.6091149422299342</v>
      </c>
      <c r="C4" s="5" t="n">
        <v>0.5656518125042255</v>
      </c>
      <c r="D4" t="inlineStr">
        <is>
          <t>+4,3 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Metrik</t>
        </is>
      </c>
      <c r="B1" s="1" t="inlineStr">
        <is>
          <t>YTD Jul 26</t>
        </is>
      </c>
      <c r="C1" s="1" t="inlineStr">
        <is>
          <t>YTD Jul 25</t>
        </is>
      </c>
      <c r="D1" s="1" t="inlineStr">
        <is>
          <t>Delta</t>
        </is>
      </c>
    </row>
    <row r="2">
      <c r="A2" t="inlineStr">
        <is>
          <t>Struk per Member</t>
        </is>
      </c>
      <c r="B2" t="n">
        <v>4.70959740227494</v>
      </c>
      <c r="C2" t="n">
        <v>4.882385070390023</v>
      </c>
      <c r="D2" t="inlineStr">
        <is>
          <t>-3,5%</t>
        </is>
      </c>
    </row>
    <row r="3">
      <c r="A3" t="inlineStr">
        <is>
          <t>Basket Size (Rp)</t>
        </is>
      </c>
      <c r="B3" t="n">
        <v>68311.84117282357</v>
      </c>
      <c r="C3" t="n">
        <v>68323.10970570543</v>
      </c>
      <c r="D3" t="inlineStr">
        <is>
          <t>-0,02%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Bulan</t>
        </is>
      </c>
      <c r="B1" s="1" t="inlineStr">
        <is>
          <t>Kontribusi 2026</t>
        </is>
      </c>
      <c r="C1" s="1" t="inlineStr">
        <is>
          <t>Kontribusi 2025</t>
        </is>
      </c>
    </row>
    <row r="2">
      <c r="A2" t="inlineStr">
        <is>
          <t>Jan</t>
        </is>
      </c>
      <c r="B2" s="5" t="n">
        <v>0.6030403581550094</v>
      </c>
      <c r="C2" s="5" t="n">
        <v>0.5687517969822217</v>
      </c>
    </row>
    <row r="3">
      <c r="A3" t="inlineStr">
        <is>
          <t>Feb</t>
        </is>
      </c>
      <c r="B3" s="5" t="n">
        <v>0.6289157040053209</v>
      </c>
      <c r="C3" s="5" t="n">
        <v>0.5798051019772953</v>
      </c>
    </row>
    <row r="4">
      <c r="A4" t="inlineStr">
        <is>
          <t>Mar</t>
        </is>
      </c>
      <c r="B4" s="5" t="n">
        <v>0.5829251733078351</v>
      </c>
      <c r="C4" s="5" t="n">
        <v>0.5867060815200548</v>
      </c>
    </row>
    <row r="5">
      <c r="A5" t="inlineStr">
        <is>
          <t>Apr</t>
        </is>
      </c>
      <c r="B5" s="5" t="n">
        <v>0.5976574054619987</v>
      </c>
      <c r="C5" s="5" t="n">
        <v>0.5192647596451941</v>
      </c>
    </row>
    <row r="6">
      <c r="A6" t="inlineStr">
        <is>
          <t>Mei</t>
        </is>
      </c>
      <c r="B6" s="5" t="n">
        <v>0.6325658124344529</v>
      </c>
      <c r="C6" s="5" t="n">
        <v>0.5674067826125074</v>
      </c>
    </row>
    <row r="7">
      <c r="A7" t="inlineStr">
        <is>
          <t>Jun</t>
        </is>
      </c>
      <c r="B7" s="5" t="n">
        <v>0.604535611592103</v>
      </c>
      <c r="C7" s="5" t="n">
        <v>0.5625686908617799</v>
      </c>
    </row>
    <row r="8">
      <c r="A8" t="inlineStr">
        <is>
          <t>Jul</t>
        </is>
      </c>
      <c r="B8" s="5" t="n">
        <v>0.6204637045352445</v>
      </c>
      <c r="C8" s="5" t="n">
        <v>0.5724753810321792</v>
      </c>
    </row>
    <row r="9">
      <c r="A9" t="inlineStr">
        <is>
          <t>Agu</t>
        </is>
      </c>
      <c r="B9" s="5" t="n"/>
      <c r="C9" s="5" t="n">
        <v>0.5791266425928627</v>
      </c>
    </row>
    <row r="10">
      <c r="A10" t="inlineStr">
        <is>
          <t>Sep</t>
        </is>
      </c>
      <c r="B10" s="5" t="n"/>
      <c r="C10" s="5" t="n">
        <v>0.5839471616726127</v>
      </c>
    </row>
    <row r="11">
      <c r="A11" t="inlineStr">
        <is>
          <t>Okt</t>
        </is>
      </c>
      <c r="B11" s="5" t="n"/>
      <c r="C11" s="5" t="n">
        <v>0.5917252432402588</v>
      </c>
    </row>
    <row r="12">
      <c r="A12" t="inlineStr">
        <is>
          <t>Nov</t>
        </is>
      </c>
      <c r="B12" s="5" t="n"/>
      <c r="C12" s="5" t="n">
        <v>0.5932773933989567</v>
      </c>
    </row>
    <row r="13">
      <c r="A13" t="inlineStr">
        <is>
          <t>Des</t>
        </is>
      </c>
      <c r="B13" s="5" t="n"/>
      <c r="C13" s="5" t="n">
        <v>0.5942283218931982</v>
      </c>
    </row>
    <row r="14">
      <c r="A14" s="2" t="inlineStr">
        <is>
          <t>YTD Jul</t>
        </is>
      </c>
      <c r="B14" s="5" t="n">
        <v>0.6091149422299342</v>
      </c>
      <c r="C14" s="5" t="n">
        <v>0.5656518125042255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</cols>
  <sheetData>
    <row r="1">
      <c r="A1" s="1" t="inlineStr">
        <is>
          <t>Bulan</t>
        </is>
      </c>
      <c r="B1" s="1" t="inlineStr">
        <is>
          <t>Sales Member (Rp)</t>
        </is>
      </c>
      <c r="C1" s="1" t="inlineStr">
        <is>
          <t>Jumlah Member</t>
        </is>
      </c>
    </row>
    <row r="2">
      <c r="A2" t="inlineStr">
        <is>
          <t>Jan-25</t>
        </is>
      </c>
      <c r="B2" t="n">
        <v>4417374461508.74</v>
      </c>
      <c r="C2" t="n">
        <v>13541668</v>
      </c>
    </row>
    <row r="3">
      <c r="A3" t="inlineStr">
        <is>
          <t>Feb-25</t>
        </is>
      </c>
      <c r="B3" t="n">
        <v>4378719583454.53</v>
      </c>
      <c r="C3" t="n">
        <v>13481661</v>
      </c>
    </row>
    <row r="4">
      <c r="A4" t="inlineStr">
        <is>
          <t>Mar-25</t>
        </is>
      </c>
      <c r="B4" t="n">
        <v>5907331590489.71</v>
      </c>
      <c r="C4" t="n">
        <v>14369613</v>
      </c>
    </row>
    <row r="5">
      <c r="A5" t="inlineStr">
        <is>
          <t>Apr-25</t>
        </is>
      </c>
      <c r="B5" t="n">
        <v>4345446380692.29</v>
      </c>
      <c r="C5" t="n">
        <v>14080367</v>
      </c>
    </row>
    <row r="6">
      <c r="A6" t="inlineStr">
        <is>
          <t>Mei-25</t>
        </is>
      </c>
      <c r="B6" t="n">
        <v>4597590272122.74</v>
      </c>
      <c r="C6" t="n">
        <v>14244378</v>
      </c>
    </row>
    <row r="7">
      <c r="A7" t="inlineStr">
        <is>
          <t>Jun-25</t>
        </is>
      </c>
      <c r="B7" t="n">
        <v>4668147962567.35</v>
      </c>
      <c r="C7" t="n">
        <v>14613080</v>
      </c>
    </row>
    <row r="8">
      <c r="A8" t="inlineStr">
        <is>
          <t>Jul-25</t>
        </is>
      </c>
      <c r="B8" t="n">
        <v>4748585091635.93</v>
      </c>
      <c r="C8" t="n">
        <v>14785553</v>
      </c>
    </row>
    <row r="9">
      <c r="A9" t="inlineStr">
        <is>
          <t>Agu-25</t>
        </is>
      </c>
      <c r="B9" t="n">
        <v>4693297753440.22</v>
      </c>
      <c r="C9" t="n">
        <v>14871892</v>
      </c>
    </row>
    <row r="10">
      <c r="A10" t="inlineStr">
        <is>
          <t>Sep-25</t>
        </is>
      </c>
      <c r="B10" t="n">
        <v>4526402700806.52</v>
      </c>
      <c r="C10" t="n">
        <v>14833096</v>
      </c>
    </row>
    <row r="11">
      <c r="A11" t="inlineStr">
        <is>
          <t>Okt-25</t>
        </is>
      </c>
      <c r="B11" t="n">
        <v>4891586124223.42</v>
      </c>
      <c r="C11" t="n">
        <v>15300482</v>
      </c>
    </row>
    <row r="12">
      <c r="A12" t="inlineStr">
        <is>
          <t>Nov-25</t>
        </is>
      </c>
      <c r="B12" t="n">
        <v>4850254376267.61</v>
      </c>
      <c r="C12" t="n">
        <v>15449824</v>
      </c>
    </row>
    <row r="13">
      <c r="A13" t="inlineStr">
        <is>
          <t>Des-25</t>
        </is>
      </c>
      <c r="B13" t="n">
        <v>5112595722371.64</v>
      </c>
      <c r="C13" t="n">
        <v>15683706</v>
      </c>
    </row>
    <row r="14">
      <c r="A14" t="inlineStr">
        <is>
          <t>Jan-26</t>
        </is>
      </c>
      <c r="B14" t="n">
        <v>5015328536755.68</v>
      </c>
      <c r="C14" t="n">
        <v>15992030</v>
      </c>
    </row>
    <row r="15">
      <c r="A15" t="inlineStr">
        <is>
          <t>Feb-26</t>
        </is>
      </c>
      <c r="B15" t="n">
        <v>5243364195297.39</v>
      </c>
      <c r="C15" t="n">
        <v>16045521</v>
      </c>
    </row>
    <row r="16">
      <c r="A16" t="inlineStr">
        <is>
          <t>Mar-26</t>
        </is>
      </c>
      <c r="B16" t="n">
        <v>6481133638453.85</v>
      </c>
      <c r="C16" t="n">
        <v>17506055</v>
      </c>
    </row>
    <row r="17">
      <c r="A17" t="inlineStr">
        <is>
          <t>Apr-26</t>
        </is>
      </c>
      <c r="B17" t="n">
        <v>5015823687116.12</v>
      </c>
      <c r="C17" t="n">
        <v>16632546</v>
      </c>
    </row>
    <row r="18">
      <c r="A18" t="inlineStr">
        <is>
          <t>Mei-26</t>
        </is>
      </c>
      <c r="B18" t="n">
        <v>5746446679993.04</v>
      </c>
      <c r="C18" t="n">
        <v>17394397</v>
      </c>
    </row>
    <row r="19">
      <c r="A19" t="inlineStr">
        <is>
          <t>Jun-26</t>
        </is>
      </c>
      <c r="B19" t="n">
        <v>5244235895972.81</v>
      </c>
      <c r="C19" t="n">
        <v>17498464</v>
      </c>
    </row>
    <row r="20">
      <c r="A20" t="inlineStr">
        <is>
          <t>Jul-26</t>
        </is>
      </c>
      <c r="B20" t="n">
        <v>5438370118921.82</v>
      </c>
      <c r="C20" t="n">
        <v>17619760</v>
      </c>
    </row>
    <row r="21">
      <c r="A21" t="inlineStr">
        <is>
          <t>Agu-26</t>
        </is>
      </c>
    </row>
    <row r="22">
      <c r="A22" t="inlineStr">
        <is>
          <t>Sep-26</t>
        </is>
      </c>
    </row>
    <row r="23">
      <c r="A23" t="inlineStr">
        <is>
          <t>Okt-26</t>
        </is>
      </c>
    </row>
    <row r="24">
      <c r="A24" t="inlineStr">
        <is>
          <t>Nov-26</t>
        </is>
      </c>
    </row>
    <row r="25">
      <c r="A25" t="inlineStr">
        <is>
          <t>Des-26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Bulan</t>
        </is>
      </c>
      <c r="B1" s="1" t="inlineStr">
        <is>
          <t>Sales/Member 2026</t>
        </is>
      </c>
      <c r="C1" s="1" t="inlineStr">
        <is>
          <t>Sales/Member 2025</t>
        </is>
      </c>
    </row>
    <row r="2">
      <c r="A2" t="inlineStr">
        <is>
          <t>Jan</t>
        </is>
      </c>
      <c r="B2" t="n">
        <v>313614.2526468297</v>
      </c>
      <c r="C2" t="n">
        <v>326206.0819618927</v>
      </c>
    </row>
    <row r="3">
      <c r="A3" t="inlineStr">
        <is>
          <t>Feb</t>
        </is>
      </c>
      <c r="B3" t="n">
        <v>326780.551114382</v>
      </c>
      <c r="C3" t="n">
        <v>324790.8090445628</v>
      </c>
    </row>
    <row r="4">
      <c r="A4" t="inlineStr">
        <is>
          <t>Mar</t>
        </is>
      </c>
      <c r="B4" t="n">
        <v>370222.3966766841</v>
      </c>
      <c r="C4" t="n">
        <v>411098.8647007898</v>
      </c>
    </row>
    <row r="5">
      <c r="A5" t="inlineStr">
        <is>
          <t>Apr</t>
        </is>
      </c>
      <c r="B5" t="n">
        <v>301566.8008443277</v>
      </c>
      <c r="C5" t="n">
        <v>308617.4089561934</v>
      </c>
    </row>
    <row r="6">
      <c r="A6" t="inlineStr">
        <is>
          <t>Mei</t>
        </is>
      </c>
      <c r="B6" t="n">
        <v>330361.936662308</v>
      </c>
      <c r="C6" t="n">
        <v>322765.2532193923</v>
      </c>
    </row>
    <row r="7">
      <c r="A7" t="inlineStr">
        <is>
          <t>Jun</t>
        </is>
      </c>
      <c r="B7" t="n">
        <v>299696.9274544789</v>
      </c>
      <c r="C7" t="n">
        <v>319449.9696550864</v>
      </c>
    </row>
    <row r="8">
      <c r="A8" t="inlineStr">
        <is>
          <t>Jul</t>
        </is>
      </c>
      <c r="B8" t="n">
        <v>308651.7704510062</v>
      </c>
      <c r="C8" t="n">
        <v>321163.8476853676</v>
      </c>
    </row>
    <row r="9">
      <c r="A9" t="inlineStr">
        <is>
          <t>Agu</t>
        </is>
      </c>
      <c r="C9" t="n">
        <v>315581.7533801496</v>
      </c>
    </row>
    <row r="10">
      <c r="A10" t="inlineStr">
        <is>
          <t>Sep</t>
        </is>
      </c>
      <c r="C10" t="n">
        <v>305155.6263646187</v>
      </c>
    </row>
    <row r="11">
      <c r="A11" t="inlineStr">
        <is>
          <t>Okt</t>
        </is>
      </c>
      <c r="C11" t="n">
        <v>319701.4397470236</v>
      </c>
    </row>
    <row r="12">
      <c r="A12" t="inlineStr">
        <is>
          <t>Nov</t>
        </is>
      </c>
      <c r="C12" t="n">
        <v>313935.8983162274</v>
      </c>
    </row>
    <row r="13">
      <c r="A13" t="inlineStr">
        <is>
          <t>Des</t>
        </is>
      </c>
      <c r="C13" t="n">
        <v>325981.354303099</v>
      </c>
    </row>
    <row r="14">
      <c r="A14" s="2" t="inlineStr">
        <is>
          <t>YTD Jul</t>
        </is>
      </c>
      <c r="B14" t="n">
        <v>321721.2697321482</v>
      </c>
      <c r="C14" t="n">
        <v>333579.7307897558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Bulan</t>
        </is>
      </c>
      <c r="B1" s="1" t="inlineStr">
        <is>
          <t>Struk/Member 2026</t>
        </is>
      </c>
      <c r="C1" s="1" t="inlineStr">
        <is>
          <t>Struk/Member 2025</t>
        </is>
      </c>
    </row>
    <row r="2">
      <c r="A2" t="inlineStr">
        <is>
          <t>Jan</t>
        </is>
      </c>
      <c r="B2" t="n">
        <v>4.528464929092804</v>
      </c>
      <c r="C2" t="n">
        <v>4.878796245780062</v>
      </c>
    </row>
    <row r="3">
      <c r="A3" t="inlineStr">
        <is>
          <t>Feb</t>
        </is>
      </c>
      <c r="B3" t="n">
        <v>4.373104494394417</v>
      </c>
      <c r="C3" t="n">
        <v>4.620819126070593</v>
      </c>
    </row>
    <row r="4">
      <c r="A4" t="inlineStr">
        <is>
          <t>Mar</t>
        </is>
      </c>
      <c r="B4" t="n">
        <v>4.838451038797719</v>
      </c>
      <c r="C4" t="n">
        <v>5.128524686085839</v>
      </c>
    </row>
    <row r="5">
      <c r="A5" t="inlineStr">
        <is>
          <t>Apr</t>
        </is>
      </c>
      <c r="B5" t="n">
        <v>4.648130959625784</v>
      </c>
      <c r="C5" t="n">
        <v>4.870513034212816</v>
      </c>
    </row>
    <row r="6">
      <c r="A6" t="inlineStr">
        <is>
          <t>Mei</t>
        </is>
      </c>
      <c r="B6" t="n">
        <v>5.016471625891946</v>
      </c>
      <c r="C6" t="n">
        <v>5.131615925946363</v>
      </c>
    </row>
    <row r="7">
      <c r="A7" t="inlineStr">
        <is>
          <t>Jun</t>
        </is>
      </c>
      <c r="B7" t="n">
        <v>4.7146497544013</v>
      </c>
      <c r="C7" t="n">
        <v>4.733506283411847</v>
      </c>
    </row>
    <row r="8">
      <c r="A8" t="inlineStr">
        <is>
          <t>Jul</t>
        </is>
      </c>
      <c r="B8" t="n">
        <v>4.802459284348935</v>
      </c>
      <c r="C8" t="n">
        <v>4.803295216621252</v>
      </c>
    </row>
    <row r="9">
      <c r="A9" t="inlineStr">
        <is>
          <t>Agu</t>
        </is>
      </c>
      <c r="C9" t="n">
        <v>4.754517986010119</v>
      </c>
    </row>
    <row r="10">
      <c r="A10" t="inlineStr">
        <is>
          <t>Sep</t>
        </is>
      </c>
      <c r="C10" t="n">
        <v>4.610926471452757</v>
      </c>
    </row>
    <row r="11">
      <c r="A11" t="inlineStr">
        <is>
          <t>Okt</t>
        </is>
      </c>
      <c r="C11" t="n">
        <v>4.771710590555251</v>
      </c>
    </row>
    <row r="12">
      <c r="A12" t="inlineStr">
        <is>
          <t>Nov</t>
        </is>
      </c>
      <c r="C12" t="n">
        <v>4.575506814834913</v>
      </c>
    </row>
    <row r="13">
      <c r="A13" t="inlineStr">
        <is>
          <t>Des</t>
        </is>
      </c>
      <c r="C13" t="n">
        <v>4.629892641445842</v>
      </c>
    </row>
    <row r="14">
      <c r="A14" s="2" t="inlineStr">
        <is>
          <t>YTD Jul</t>
        </is>
      </c>
      <c r="B14" t="n">
        <v>4.70959740227494</v>
      </c>
      <c r="C14" t="n">
        <v>4.882385070390023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Bulan</t>
        </is>
      </c>
      <c r="B1" s="1" t="inlineStr">
        <is>
          <t>Basket Size 2026</t>
        </is>
      </c>
      <c r="C1" s="1" t="inlineStr">
        <is>
          <t>Basket Size 2025</t>
        </is>
      </c>
    </row>
    <row r="2">
      <c r="A2" t="inlineStr">
        <is>
          <t>Jan</t>
        </is>
      </c>
      <c r="B2" t="n">
        <v>69253.98729093318</v>
      </c>
      <c r="C2" t="n">
        <v>66862.0015119603</v>
      </c>
    </row>
    <row r="3">
      <c r="A3" t="inlineStr">
        <is>
          <t>Feb</t>
        </is>
      </c>
      <c r="B3" t="n">
        <v>74725.07266479902</v>
      </c>
      <c r="C3" t="n">
        <v>70288.57875264969</v>
      </c>
    </row>
    <row r="4">
      <c r="A4" t="inlineStr">
        <is>
          <t>Mar</t>
        </is>
      </c>
      <c r="B4" t="n">
        <v>76516.71861676598</v>
      </c>
      <c r="C4" t="n">
        <v>80159.28358815136</v>
      </c>
    </row>
    <row r="5">
      <c r="A5" t="inlineStr">
        <is>
          <t>Apr</t>
        </is>
      </c>
      <c r="B5" t="n">
        <v>64879.15324756825</v>
      </c>
      <c r="C5" t="n">
        <v>63364.45602102221</v>
      </c>
    </row>
    <row r="6">
      <c r="A6" t="inlineStr">
        <is>
          <t>Mei</t>
        </is>
      </c>
      <c r="B6" t="n">
        <v>65855.43810457982</v>
      </c>
      <c r="C6" t="n">
        <v>62897.3909733645</v>
      </c>
    </row>
    <row r="7">
      <c r="A7" t="inlineStr">
        <is>
          <t>Jun</t>
        </is>
      </c>
      <c r="B7" t="n">
        <v>63567.16682394077</v>
      </c>
      <c r="C7" t="n">
        <v>67486.96431957225</v>
      </c>
    </row>
    <row r="8">
      <c r="A8" t="inlineStr">
        <is>
          <t>Jul</t>
        </is>
      </c>
      <c r="B8" t="n">
        <v>64269.52362863182</v>
      </c>
      <c r="C8" t="n">
        <v>66863.23309340158</v>
      </c>
    </row>
    <row r="9">
      <c r="A9" t="inlineStr">
        <is>
          <t>Agu</t>
        </is>
      </c>
      <c r="C9" t="n">
        <v>66375.13083528756</v>
      </c>
    </row>
    <row r="10">
      <c r="A10" t="inlineStr">
        <is>
          <t>Sep</t>
        </is>
      </c>
      <c r="C10" t="n">
        <v>66180.97865014833</v>
      </c>
    </row>
    <row r="11">
      <c r="A11" t="inlineStr">
        <is>
          <t>Okt</t>
        </is>
      </c>
      <c r="C11" t="n">
        <v>66999.33570569336</v>
      </c>
    </row>
    <row r="12">
      <c r="A12" t="inlineStr">
        <is>
          <t>Nov</t>
        </is>
      </c>
      <c r="C12" t="n">
        <v>68612.26767237466</v>
      </c>
    </row>
    <row r="13">
      <c r="A13" t="inlineStr">
        <is>
          <t>Des</t>
        </is>
      </c>
      <c r="C13" t="n">
        <v>70407.97261365874</v>
      </c>
    </row>
    <row r="14">
      <c r="A14" s="2" t="inlineStr">
        <is>
          <t>YTD Jul</t>
        </is>
      </c>
      <c r="B14" t="n">
        <v>68311.84117282357</v>
      </c>
      <c r="C14" t="n">
        <v>68323.10970570543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</cols>
  <sheetData>
    <row r="1">
      <c r="A1" s="1" t="inlineStr">
        <is>
          <t>Metrik</t>
        </is>
      </c>
      <c r="B1" s="1" t="inlineStr">
        <is>
          <t>2026</t>
        </is>
      </c>
      <c r="C1" s="1" t="inlineStr">
        <is>
          <t>2025</t>
        </is>
      </c>
      <c r="D1" s="1" t="inlineStr">
        <is>
          <t>2026 vs 2025</t>
        </is>
      </c>
    </row>
    <row r="2">
      <c r="A2" t="inlineStr">
        <is>
          <t>Issued Point</t>
        </is>
      </c>
      <c r="B2" t="n">
        <v>131499745941</v>
      </c>
      <c r="C2" t="n">
        <v>125274796303</v>
      </c>
      <c r="D2" t="inlineStr">
        <is>
          <t>+5,0%</t>
        </is>
      </c>
    </row>
    <row r="3">
      <c r="A3" t="inlineStr">
        <is>
          <t>Redemp Point</t>
        </is>
      </c>
      <c r="B3" t="n">
        <v>80322882241</v>
      </c>
      <c r="C3" t="n">
        <v>76763900922</v>
      </c>
      <c r="D3" t="inlineStr">
        <is>
          <t>+4,6%</t>
        </is>
      </c>
    </row>
    <row r="4">
      <c r="A4" t="inlineStr">
        <is>
          <t>% Redemption Rate</t>
        </is>
      </c>
      <c r="B4" s="7" t="n">
        <v>0.6108</v>
      </c>
      <c r="C4" s="7" t="n">
        <v>0.6128</v>
      </c>
      <c r="D4" t="inlineStr">
        <is>
          <t>-0,19%</t>
        </is>
      </c>
    </row>
    <row r="6">
      <c r="A6" s="4" t="inlineStr">
        <is>
          <t>Bulan</t>
        </is>
      </c>
      <c r="B6" s="4" t="inlineStr">
        <is>
          <t>Redemption Rate 2026</t>
        </is>
      </c>
      <c r="C6" s="4" t="inlineStr">
        <is>
          <t>Redemption Rate 2025</t>
        </is>
      </c>
    </row>
    <row r="7">
      <c r="A7" t="inlineStr">
        <is>
          <t>Jan</t>
        </is>
      </c>
      <c r="B7" s="5" t="n">
        <v>0.7884482355854628</v>
      </c>
      <c r="C7" s="5" t="n">
        <v>0.578193945270244</v>
      </c>
    </row>
    <row r="8">
      <c r="A8" t="inlineStr">
        <is>
          <t>Feb</t>
        </is>
      </c>
      <c r="B8" s="5" t="n">
        <v>0.5737591899302854</v>
      </c>
      <c r="C8" s="5" t="n">
        <v>0.5922819947606582</v>
      </c>
    </row>
    <row r="9">
      <c r="A9" t="inlineStr">
        <is>
          <t>Mar</t>
        </is>
      </c>
      <c r="B9" s="5" t="n">
        <v>0.4822366162851627</v>
      </c>
      <c r="C9" s="5" t="n">
        <v>0.5139597657325711</v>
      </c>
    </row>
    <row r="10">
      <c r="A10" t="inlineStr">
        <is>
          <t>Apr</t>
        </is>
      </c>
      <c r="B10" s="5" t="n">
        <v>0.687555013841083</v>
      </c>
      <c r="C10" s="5" t="n">
        <v>0.6396232409257835</v>
      </c>
    </row>
    <row r="11">
      <c r="A11" t="inlineStr">
        <is>
          <t>Mei</t>
        </is>
      </c>
      <c r="B11" s="5" t="n">
        <v>0.5949930164253318</v>
      </c>
      <c r="C11" s="5" t="n">
        <v>0.7205360278647829</v>
      </c>
    </row>
    <row r="12">
      <c r="A12" t="inlineStr">
        <is>
          <t>Jun</t>
        </is>
      </c>
      <c r="B12" s="5" t="n">
        <v>0.6515147001010176</v>
      </c>
      <c r="C12" s="5" t="n">
        <v>0.6582972178446708</v>
      </c>
    </row>
    <row r="13">
      <c r="A13" t="inlineStr">
        <is>
          <t>Jul</t>
        </is>
      </c>
      <c r="B13" s="5" t="n">
        <v>0.5954836796777726</v>
      </c>
      <c r="C13" s="5" t="n">
        <v>0.6235676306184152</v>
      </c>
    </row>
    <row r="14">
      <c r="A14" t="inlineStr">
        <is>
          <t>Agu</t>
        </is>
      </c>
      <c r="B14" s="5" t="n"/>
      <c r="C14" s="5" t="n">
        <v>0.516088448876211</v>
      </c>
    </row>
    <row r="15">
      <c r="A15" t="inlineStr">
        <is>
          <t>Sep</t>
        </is>
      </c>
      <c r="B15" s="5" t="n"/>
      <c r="C15" s="5" t="n">
        <v>0.6034009218040162</v>
      </c>
    </row>
    <row r="16">
      <c r="A16" t="inlineStr">
        <is>
          <t>Okt</t>
        </is>
      </c>
      <c r="B16" s="5" t="n"/>
      <c r="C16" s="5" t="n">
        <v>0.6399858745501065</v>
      </c>
    </row>
    <row r="17">
      <c r="A17" t="inlineStr">
        <is>
          <t>Nov</t>
        </is>
      </c>
      <c r="B17" s="5" t="n"/>
      <c r="C17" s="5" t="n">
        <v>0.5873013507577727</v>
      </c>
    </row>
    <row r="18">
      <c r="A18" t="inlineStr">
        <is>
          <t>Des</t>
        </is>
      </c>
      <c r="B18" s="5" t="n"/>
      <c r="C18" s="5" t="n">
        <v>0.6641523988861396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2026-09-02T07:03:38Z</dcterms:created>
  <dcterms:modified xmlns:dcterms="http://purl.org/dc/terms/" xmlns:xsi="http://www.w3.org/2001/XMLSchema-instance" xsi:type="dcterms:W3CDTF">2026-09-02T07:03:38Z</dcterms:modified>
</cp:coreProperties>
</file>